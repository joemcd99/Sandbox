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mission Info" sheetId="1" state="visible" r:id="rId3"/>
    <sheet name="1. Pre-Flight" sheetId="2" state="visible" r:id="rId4"/>
    <sheet name="2. SQL &amp; Code Layer" sheetId="3" state="visible" r:id="rId5"/>
    <sheet name="3. Excel Output" sheetId="4" state="visible" r:id="rId6"/>
    <sheet name="4. Reconciliation &amp; Tie-Out" sheetId="5" state="visible" r:id="rId7"/>
    <sheet name="5. Typo &amp; Presentation" sheetId="6" state="visible" r:id="rId8"/>
    <sheet name="6. Release &amp; Controls" sheetId="7" state="visible" r:id="rId9"/>
    <sheet name="Issue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<sst xmlns="http://schemas.openxmlformats.org/spreadsheetml/2006/main" count="231" uniqueCount="139">
  <si>
    <t xml:space="preserve">Regulatory Submission QA Checklist</t>
  </si>
  <si>
    <t xml:space="preserve">SQL → Excel pipeline quality assurance. Complete every section before sign-off.</t>
  </si>
  <si>
    <t xml:space="preserve">Report Name</t>
  </si>
  <si>
    <t xml:space="preserve">Regulator / Recipient</t>
  </si>
  <si>
    <t xml:space="preserve">Reporting Period</t>
  </si>
  <si>
    <t xml:space="preserve">Submission Due Date</t>
  </si>
  <si>
    <t xml:space="preserve">Git Commit SHA</t>
  </si>
  <si>
    <t xml:space="preserve">Pipeline Run Timestamp</t>
  </si>
  <si>
    <t xml:space="preserve">Output File Name</t>
  </si>
  <si>
    <t xml:space="preserve">Output File Path</t>
  </si>
  <si>
    <t xml:space="preserve">Prepared By</t>
  </si>
  <si>
    <t xml:space="preserve">Reviewed By</t>
  </si>
  <si>
    <t xml:space="preserve">Approved By</t>
  </si>
  <si>
    <t xml:space="preserve">Submission Date</t>
  </si>
  <si>
    <t xml:space="preserve">Overall Status</t>
  </si>
  <si>
    <t xml:space="preserve">Total Items</t>
  </si>
  <si>
    <t xml:space="preserve">Pass</t>
  </si>
  <si>
    <t xml:space="preserve">Fail</t>
  </si>
  <si>
    <t xml:space="preserve">N/A / Blank</t>
  </si>
  <si>
    <t xml:space="preserve">Dashboard</t>
  </si>
  <si>
    <t xml:space="preserve">Section</t>
  </si>
  <si>
    <t xml:space="preserve">Total</t>
  </si>
  <si>
    <t xml:space="preserve">% Complete</t>
  </si>
  <si>
    <t xml:space="preserve">1. Pre-Flight</t>
  </si>
  <si>
    <t xml:space="preserve">2. SQL &amp; Code Layer</t>
  </si>
  <si>
    <t xml:space="preserve">3. Excel Output</t>
  </si>
  <si>
    <t xml:space="preserve">4. Reconciliation &amp; Tie-Out</t>
  </si>
  <si>
    <t xml:space="preserve">5. Typo &amp; Presentation</t>
  </si>
  <si>
    <t xml:space="preserve">6. Release &amp; Controls</t>
  </si>
  <si>
    <t xml:space="preserve">TOTAL</t>
  </si>
  <si>
    <t xml:space="preserve">Ready to Submit?</t>
  </si>
  <si>
    <t xml:space="preserve">Tick each item. Add evidence link, reviewer, and date. 'Fail' blocks sign-off.</t>
  </si>
  <si>
    <t xml:space="preserve">#</t>
  </si>
  <si>
    <t xml:space="preserve">Check Item</t>
  </si>
  <si>
    <t xml:space="preserve">Detail / How to Verify</t>
  </si>
  <si>
    <t xml:space="preserve">Status</t>
  </si>
  <si>
    <t xml:space="preserve">Evidence / Link</t>
  </si>
  <si>
    <t xml:space="preserve">Reviewer</t>
  </si>
  <si>
    <t xml:space="preserve">Date</t>
  </si>
  <si>
    <t xml:space="preserve">Section Summary</t>
  </si>
  <si>
    <t xml:space="preserve">Spec document signed off by requirements owner</t>
  </si>
  <si>
    <t xml:space="preserve">Column names, order, data types, formats documented and approved</t>
  </si>
  <si>
    <t xml:space="preserve">Requirements traceability matrix complete</t>
  </si>
  <si>
    <t xml:space="preserve">Each column maps to regulator req ID, source field, transformation, owner</t>
  </si>
  <si>
    <t xml:space="preserve">Naming conventions defined and applied</t>
  </si>
  <si>
    <t xml:space="preserve">Case, spacing, abbreviations consistent across output</t>
  </si>
  <si>
    <t xml:space="preserve">Reference data versioned and dated</t>
  </si>
  <si>
    <t xml:space="preserve">Lookup tables, FX rates, mappings locked for this submission</t>
  </si>
  <si>
    <t xml:space="preserve">N/A</t>
  </si>
  <si>
    <t xml:space="preserve">Reporting period parameters confirmed</t>
  </si>
  <si>
    <t xml:space="preserve">Start/end dates, as-of date, time zone</t>
  </si>
  <si>
    <t xml:space="preserve">Open</t>
  </si>
  <si>
    <t xml:space="preserve">Source system cutoff confirmed</t>
  </si>
  <si>
    <t xml:space="preserve">Data freeze time documented; no late arrivals included</t>
  </si>
  <si>
    <t xml:space="preserve">SQL linted (SQLFluff / dbt style)</t>
  </si>
  <si>
    <t xml:space="preserve">No lint errors in CI</t>
  </si>
  <si>
    <t xml:space="preserve">Code modular — each CTE does one thing</t>
  </si>
  <si>
    <t xml:space="preserve">Readable, testable, named clearly</t>
  </si>
  <si>
    <t xml:space="preserve">Unit tests pass (unique, not_null, accepted_values, relationships)</t>
  </si>
  <si>
    <t xml:space="preserve">dbt test suite green</t>
  </si>
  <si>
    <t xml:space="preserve">Custom business-rule tests pass</t>
  </si>
  <si>
    <t xml:space="preserve">e.g., sum of segments = total, no negative balances where disallowed</t>
  </si>
  <si>
    <t xml:space="preserve">Row counts logged at each step</t>
  </si>
  <si>
    <t xml:space="preserve">Deltas vs. source within tolerance</t>
  </si>
  <si>
    <t xml:space="preserve">Idempotency verified</t>
  </si>
  <si>
    <t xml:space="preserve">Pipeline run twice produces identical output</t>
  </si>
  <si>
    <t xml:space="preserve">Explicit ORDER BY on final select</t>
  </si>
  <si>
    <t xml:space="preserve">Output order deterministic</t>
  </si>
  <si>
    <t xml:space="preserve">NULL handling reviewed per column</t>
  </si>
  <si>
    <t xml:space="preserve">Coalesce, drop, or flag — decision documented</t>
  </si>
  <si>
    <t xml:space="preserve">Boundary tests passed</t>
  </si>
  <si>
    <t xml:space="preserve">Min/max dates, zero rows, duplicates, whitespace, non-ASCII</t>
  </si>
  <si>
    <t xml:space="preserve">Joins reviewed for fan-out / cartesian risk</t>
  </si>
  <si>
    <t xml:space="preserve">Row counts match expected cardinality</t>
  </si>
  <si>
    <t xml:space="preserve">No hard-coded dates or magic numbers in SQL</t>
  </si>
  <si>
    <t xml:space="preserve">All parameters externalized</t>
  </si>
  <si>
    <t xml:space="preserve">Column headers match spec exactly (case, spacing)</t>
  </si>
  <si>
    <t xml:space="preserve">Asserted in code before write</t>
  </si>
  <si>
    <t xml:space="preserve">Column order matches spec exactly</t>
  </si>
  <si>
    <t xml:space="preserve">Hard-coded expected list; assertion passes</t>
  </si>
  <si>
    <t xml:space="preserve">Row count matches expected</t>
  </si>
  <si>
    <t xml:space="preserve">Reconciled to source control total</t>
  </si>
  <si>
    <t xml:space="preserve">Data types correct when file re-opened</t>
  </si>
  <si>
    <t xml:space="preserve">Dates = dates, numbers = numbers, IDs not in scientific notation</t>
  </si>
  <si>
    <t xml:space="preserve">Date formats consistent and per spec</t>
  </si>
  <si>
    <t xml:space="preserve">e.g., YYYY-MM-DD everywhere</t>
  </si>
  <si>
    <t xml:space="preserve">Number formats consistent and per spec</t>
  </si>
  <si>
    <t xml:space="preserve">Decimals, thousands separators, % where required</t>
  </si>
  <si>
    <t xml:space="preserve">No formulas in output (unless spec'd)</t>
  </si>
  <si>
    <t xml:space="preserve">Values only</t>
  </si>
  <si>
    <t xml:space="preserve">No hidden sheets, rows, or columns</t>
  </si>
  <si>
    <t xml:space="preserve">Unless required by spec</t>
  </si>
  <si>
    <t xml:space="preserve">Frozen header row / filters / print area set</t>
  </si>
  <si>
    <t xml:space="preserve">If required</t>
  </si>
  <si>
    <t xml:space="preserve">File name follows convention</t>
  </si>
  <si>
    <t xml:space="preserve">{report}_{period}_{version}.xlsx — no spaces</t>
  </si>
  <si>
    <t xml:space="preserve">File opens cleanly in Excel (no repair prompt)</t>
  </si>
  <si>
    <t xml:space="preserve">Tested on a clean machine</t>
  </si>
  <si>
    <t xml:space="preserve">Control totals tie to independent source</t>
  </si>
  <si>
    <t xml:space="preserve">GL, system of record, or prior-period rollforward</t>
  </si>
  <si>
    <t xml:space="preserve">Period-over-period variance within threshold</t>
  </si>
  <si>
    <t xml:space="preserve">Material movements investigated and documented</t>
  </si>
  <si>
    <t xml:space="preserve">Random 10–20 row sample traced to source</t>
  </si>
  <si>
    <t xml:space="preserve">Documented in evidence log</t>
  </si>
  <si>
    <t xml:space="preserve">Cross-foot / cross-tie checks pass</t>
  </si>
  <si>
    <t xml:space="preserve">Row totals = column totals where applicable</t>
  </si>
  <si>
    <t xml:space="preserve">Reconciliation to prior submission (if applicable)</t>
  </si>
  <si>
    <t xml:space="preserve">Explain all movements &gt; materiality threshold</t>
  </si>
  <si>
    <t xml:space="preserve">FX / rate conversions tied to source</t>
  </si>
  <si>
    <t xml:space="preserve">Rates match published/approved source</t>
  </si>
  <si>
    <t xml:space="preserve">Spell check run on headers, labels, footnotes</t>
  </si>
  <si>
    <t xml:space="preserve">Automated + human review</t>
  </si>
  <si>
    <t xml:space="preserve">Diff vs. last accepted submission reviewed</t>
  </si>
  <si>
    <t xml:space="preserve">All changes explained</t>
  </si>
  <si>
    <t xml:space="preserve">Second reviewer opened file and ticked checklist</t>
  </si>
  <si>
    <t xml:space="preserve">Four-eyes sign-off recorded</t>
  </si>
  <si>
    <t xml:space="preserve">Regulator-specific formatting requirements met</t>
  </si>
  <si>
    <t xml:space="preserve">Templates, cover page, footer text, etc.</t>
  </si>
  <si>
    <t xml:space="preserve">No debug / test rows or placeholder text</t>
  </si>
  <si>
    <t xml:space="preserve">e.g., 'TEST', 'TODO', 'XXX'</t>
  </si>
  <si>
    <t xml:space="preserve">Encoding / special characters render correctly</t>
  </si>
  <si>
    <t xml:space="preserve">Accents, symbols, currency marks</t>
  </si>
  <si>
    <t xml:space="preserve">SQL / code committed and tagged in Git</t>
  </si>
  <si>
    <t xml:space="preserve">Tag references this submission</t>
  </si>
  <si>
    <t xml:space="preserve">Run log saved with output</t>
  </si>
  <si>
    <t xml:space="preserve">Timestamp, SHA, row counts, control totals, reviewer</t>
  </si>
  <si>
    <t xml:space="preserve">File stored in secure submission folder</t>
  </si>
  <si>
    <t xml:space="preserve">Access-controlled, retention policy applied</t>
  </si>
  <si>
    <t xml:space="preserve">Rollback plan confirmed</t>
  </si>
  <si>
    <t xml:space="preserve">Prior version retrievable in one step</t>
  </si>
  <si>
    <t xml:space="preserve">Submission transmittal method verified</t>
  </si>
  <si>
    <t xml:space="preserve">Portal, SFTP, email — per regulator</t>
  </si>
  <si>
    <t xml:space="preserve">Post-submission confirmation received and filed</t>
  </si>
  <si>
    <t xml:space="preserve">Acknowledgement from regulator saved</t>
  </si>
  <si>
    <t xml:space="preserve">Issue &amp; Evidence Log</t>
  </si>
  <si>
    <t xml:space="preserve">Record every failed check, anomaly, or item needing follow-up. Link back to checklist row.</t>
  </si>
  <si>
    <t xml:space="preserve">Issue / Finding</t>
  </si>
  <si>
    <t xml:space="preserve">Action Taken</t>
  </si>
  <si>
    <t xml:space="preserve">Owner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</si>
</sst>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22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4"/>
      <c r="D5" s="4"/>
      <c r="E5" s="4"/>
      <c r="F5" s="4"/>
    </row>
    <row r="6" customFormat="false" ht="15" hidden="false" customHeight="false" outlineLevel="0" collapsed="false">
      <c r="B6" s="3" t="s">
        <v>3</v>
      </c>
      <c r="C6" s="4"/>
      <c r="D6" s="4"/>
      <c r="E6" s="4"/>
      <c r="F6" s="4"/>
    </row>
    <row r="7" customFormat="false" ht="15" hidden="false" customHeight="false" outlineLevel="0" collapsed="false">
      <c r="B7" s="3" t="s">
        <v>4</v>
      </c>
      <c r="C7" s="4"/>
      <c r="D7" s="4"/>
      <c r="E7" s="4"/>
      <c r="F7" s="4"/>
    </row>
    <row r="8" customFormat="false" ht="15" hidden="false" customHeight="false" outlineLevel="0" collapsed="false">
      <c r="B8" s="3" t="s">
        <v>5</v>
      </c>
      <c r="C8" s="4"/>
      <c r="D8" s="4"/>
      <c r="E8" s="4"/>
      <c r="F8" s="4"/>
    </row>
    <row r="9" customFormat="false" ht="15" hidden="false" customHeight="false" outlineLevel="0" collapsed="false">
      <c r="B9" s="3" t="s">
        <v>6</v>
      </c>
      <c r="C9" s="4"/>
      <c r="D9" s="4"/>
      <c r="E9" s="4"/>
      <c r="F9" s="4"/>
    </row>
    <row r="10" customFormat="false" ht="15" hidden="false" customHeight="false" outlineLevel="0" collapsed="false">
      <c r="B10" s="3" t="s">
        <v>7</v>
      </c>
      <c r="C10" s="4"/>
      <c r="D10" s="4"/>
      <c r="E10" s="4"/>
      <c r="F10" s="4"/>
    </row>
    <row r="11" customFormat="false" ht="15" hidden="false" customHeight="false" outlineLevel="0" collapsed="false">
      <c r="B11" s="3" t="s">
        <v>8</v>
      </c>
      <c r="C11" s="4"/>
      <c r="D11" s="4"/>
      <c r="E11" s="4"/>
      <c r="F11" s="4"/>
    </row>
    <row r="12" customFormat="false" ht="15" hidden="false" customHeight="false" outlineLevel="0" collapsed="false">
      <c r="B12" s="3" t="s">
        <v>9</v>
      </c>
      <c r="C12" s="4"/>
      <c r="D12" s="4"/>
      <c r="E12" s="4"/>
      <c r="F12" s="4"/>
    </row>
    <row r="13" customFormat="false" ht="15" hidden="false" customHeight="false" outlineLevel="0" collapsed="false">
      <c r="B13" s="3" t="s">
        <v>10</v>
      </c>
      <c r="C13" s="4"/>
      <c r="D13" s="4"/>
      <c r="E13" s="4"/>
      <c r="F13" s="4"/>
    </row>
    <row r="14" customFormat="false" ht="15" hidden="false" customHeight="false" outlineLevel="0" collapsed="false">
      <c r="B14" s="3" t="s">
        <v>11</v>
      </c>
      <c r="C14" s="4"/>
      <c r="D14" s="4"/>
      <c r="E14" s="4"/>
      <c r="F14" s="4"/>
    </row>
    <row r="15" customFormat="false" ht="15" hidden="false" customHeight="false" outlineLevel="0" collapsed="false">
      <c r="B15" s="3" t="s">
        <v>12</v>
      </c>
      <c r="C15" s="4"/>
      <c r="D15" s="4"/>
      <c r="E15" s="4"/>
      <c r="F15" s="4"/>
    </row>
    <row r="16" customFormat="false" ht="15" hidden="false" customHeight="false" outlineLevel="0" collapsed="false">
      <c r="B16" s="3" t="s">
        <v>13</v>
      </c>
      <c r="C16" s="4"/>
      <c r="D16" s="4"/>
      <c r="E16" s="4"/>
      <c r="F16" s="4"/>
    </row>
    <row r="19" customFormat="false" ht="15" hidden="false" customHeight="false" outlineLevel="0" collapsed="false">
      <c r="B19" s="5" t="s">
        <v>14</v>
      </c>
      <c r="C19" s="6" t="s">
        <v>15</v>
      </c>
      <c r="D19" s="6" t="s">
        <v>16</v>
      </c>
      <c r="E19" s="6" t="s">
        <v>17</v>
      </c>
      <c r="F19" s="6" t="s">
        <v>18</v>
      </c>
    </row>
    <row r="20" customFormat="false" ht="15" hidden="false" customHeight="false" outlineLevel="0" collapsed="false">
      <c r="B20" s="7" t="s">
        <v>19</v>
      </c>
    </row>
    <row r="21" customFormat="false" ht="15" hidden="false" customHeight="false" outlineLevel="0" collapsed="false">
      <c r="B21" s="8" t="s">
        <v>20</v>
      </c>
      <c r="C21" s="8" t="s">
        <v>21</v>
      </c>
      <c r="D21" s="8" t="s">
        <v>16</v>
      </c>
      <c r="E21" s="8" t="s">
        <v>17</v>
      </c>
      <c r="F21" s="8" t="s">
        <v>22</v>
      </c>
    </row>
    <row r="22" customFormat="false" ht="15" hidden="false" customHeight="false" outlineLevel="0" collapsed="false">
      <c r="B22" s="9" t="s">
        <v>23</v>
      </c>
      <c r="C22" s="10" t="n">
        <f aca="false">'1. Pre-Flight'!J6</f>
        <v>6</v>
      </c>
      <c r="D22" s="10" t="n">
        <f aca="false">'1. Pre-Flight'!J7</f>
        <v>0</v>
      </c>
      <c r="E22" s="10" t="n">
        <f aca="false">'1. Pre-Flight'!J8</f>
        <v>0</v>
      </c>
      <c r="F22" s="11" t="n">
        <f aca="false">'1. Pre-Flight'!J11</f>
        <v>0</v>
      </c>
    </row>
    <row r="23" customFormat="false" ht="15" hidden="false" customHeight="false" outlineLevel="0" collapsed="false">
      <c r="B23" s="3" t="s">
        <v>24</v>
      </c>
      <c r="C23" s="12" t="n">
        <f aca="false">'2. SQL &amp; Code Layer'!J6</f>
        <v>11</v>
      </c>
      <c r="D23" s="12" t="n">
        <f aca="false">'2. SQL &amp; Code Layer'!J7</f>
        <v>0</v>
      </c>
      <c r="E23" s="12" t="n">
        <f aca="false">'2. SQL &amp; Code Layer'!J8</f>
        <v>0</v>
      </c>
      <c r="F23" s="13" t="n">
        <f aca="false">'2. SQL &amp; Code Layer'!J11</f>
        <v>0</v>
      </c>
    </row>
    <row r="24" customFormat="false" ht="15" hidden="false" customHeight="false" outlineLevel="0" collapsed="false">
      <c r="B24" s="9" t="s">
        <v>25</v>
      </c>
      <c r="C24" s="10" t="n">
        <f aca="false">'3. Excel Output'!J6</f>
        <v>11</v>
      </c>
      <c r="D24" s="10" t="n">
        <f aca="false">'3. Excel Output'!J7</f>
        <v>0</v>
      </c>
      <c r="E24" s="10" t="n">
        <f aca="false">'3. Excel Output'!J8</f>
        <v>0</v>
      </c>
      <c r="F24" s="11" t="n">
        <f aca="false">'3. Excel Output'!J11</f>
        <v>0</v>
      </c>
    </row>
    <row r="25" customFormat="false" ht="15" hidden="false" customHeight="false" outlineLevel="0" collapsed="false">
      <c r="B25" s="3" t="s">
        <v>26</v>
      </c>
      <c r="C25" s="12" t="n">
        <f aca="false">'4. Reconciliation &amp; Tie-Out'!J6</f>
        <v>6</v>
      </c>
      <c r="D25" s="12" t="n">
        <f aca="false">'4. Reconciliation &amp; Tie-Out'!J7</f>
        <v>0</v>
      </c>
      <c r="E25" s="12" t="n">
        <f aca="false">'4. Reconciliation &amp; Tie-Out'!J8</f>
        <v>0</v>
      </c>
      <c r="F25" s="13" t="n">
        <f aca="false">'4. Reconciliation &amp; Tie-Out'!J11</f>
        <v>0</v>
      </c>
    </row>
    <row r="26" customFormat="false" ht="15" hidden="false" customHeight="false" outlineLevel="0" collapsed="false">
      <c r="B26" s="9" t="s">
        <v>27</v>
      </c>
      <c r="C26" s="10" t="n">
        <f aca="false">'5. Typo &amp; Presentation'!J6</f>
        <v>6</v>
      </c>
      <c r="D26" s="10" t="n">
        <f aca="false">'5. Typo &amp; Presentation'!J7</f>
        <v>0</v>
      </c>
      <c r="E26" s="10" t="n">
        <f aca="false">'5. Typo &amp; Presentation'!J8</f>
        <v>0</v>
      </c>
      <c r="F26" s="11" t="n">
        <f aca="false">'5. Typo &amp; Presentation'!J11</f>
        <v>0</v>
      </c>
    </row>
    <row r="27" customFormat="false" ht="15" hidden="false" customHeight="false" outlineLevel="0" collapsed="false">
      <c r="B27" s="3" t="s">
        <v>28</v>
      </c>
      <c r="C27" s="12" t="n">
        <f aca="false">'6. Release &amp; Controls'!J6</f>
        <v>6</v>
      </c>
      <c r="D27" s="12" t="n">
        <f aca="false">'6. Release &amp; Controls'!J7</f>
        <v>0</v>
      </c>
      <c r="E27" s="12" t="n">
        <f aca="false">'6. Release &amp; Controls'!J8</f>
        <v>0</v>
      </c>
      <c r="F27" s="13" t="n">
        <f aca="false">'6. Release &amp; Controls'!J11</f>
        <v>0</v>
      </c>
    </row>
    <row r="28" customFormat="false" ht="15" hidden="false" customHeight="false" outlineLevel="0" collapsed="false">
      <c r="B28" s="14" t="s">
        <v>29</v>
      </c>
      <c r="C28" s="15" t="n">
        <f aca="false">SUM(C22:C27)</f>
        <v>46</v>
      </c>
      <c r="D28" s="15" t="n">
        <f aca="false">SUM(D22:D27)</f>
        <v>0</v>
      </c>
      <c r="E28" s="15" t="n">
        <f aca="false">SUM(E22:E27)</f>
        <v>0</v>
      </c>
      <c r="F28" s="16" t="n">
        <f aca="false">IFERROR(D28/C28,0)</f>
        <v>0</v>
      </c>
    </row>
    <row r="30" customFormat="false" ht="15" hidden="false" customHeight="false" outlineLevel="0" collapsed="false">
      <c r="B30" s="5" t="s">
        <v>30</v>
      </c>
      <c r="C30" s="17" t="str">
        <f aca="false">IF(E28&gt;0,"NO — resolve failed items",IF(F28&gt;=1,"YES — all checks complete","IN PROGRESS — complete remaining items"))</f>
        <v>IN PROGRESS — complete remaining items</v>
      </c>
      <c r="D30" s="17"/>
      <c r="E30" s="17"/>
      <c r="F30" s="17"/>
    </row>
  </sheetData>
  <mergeCells count="15">
    <mergeCell ref="B2:F2"/>
    <mergeCell ref="B3:F3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30:F30"/>
  </mergeCells>
  <conditionalFormatting sqref="C30:F30">
    <cfRule type="cellIs" priority="2" operator="equal" aboveAverage="0" equalAverage="0" bottom="0" percent="0" rank="0" text="" dxfId="0">
      <formula>"NO — resolve failed items"</formula>
    </cfRule>
    <cfRule type="cellIs" priority="3" operator="equal" aboveAverage="0" equalAverage="0" bottom="0" percent="0" rank="0" text="" dxfId="1">
      <formula>"YES — all checks complete"</formula>
    </cfRule>
    <cfRule type="cellIs" priority="4" operator="equal" aboveAverage="0" equalAverage="0" bottom="0" percent="0" rank="0" text="" dxfId="2">
      <formula>"IN PROGRESS — complete remaining items"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0"/>
  </cols>
  <sheetData>
    <row r="2" customFormat="false" ht="22.05" hidden="false" customHeight="false" outlineLevel="0" collapsed="false">
      <c r="B2" s="1" t="s">
        <v>23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31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/>
    </row>
    <row r="6" customFormat="false" ht="31.5" hidden="false" customHeight="true" outlineLevel="0" collapsed="false">
      <c r="B6" s="10" t="n">
        <v>1</v>
      </c>
      <c r="C6" s="9" t="s">
        <v>40</v>
      </c>
      <c r="D6" s="4" t="s">
        <v>41</v>
      </c>
      <c r="E6" s="18"/>
      <c r="F6" s="19"/>
      <c r="G6" s="19"/>
      <c r="H6" s="19"/>
      <c r="I6" s="5" t="s">
        <v>21</v>
      </c>
      <c r="J6" s="10" t="n">
        <f aca="false">COUNTA(C6:C11)</f>
        <v>6</v>
      </c>
    </row>
    <row r="7" customFormat="false" ht="31.5" hidden="false" customHeight="true" outlineLevel="0" collapsed="false">
      <c r="B7" s="12" t="n">
        <v>2</v>
      </c>
      <c r="C7" s="3" t="s">
        <v>42</v>
      </c>
      <c r="D7" s="20" t="s">
        <v>43</v>
      </c>
      <c r="E7" s="21"/>
      <c r="F7" s="22"/>
      <c r="G7" s="22"/>
      <c r="H7" s="22"/>
      <c r="I7" s="5" t="s">
        <v>16</v>
      </c>
      <c r="J7" s="10" t="n">
        <f aca="false">COUNTIF(E6:E11,"Pass")</f>
        <v>0</v>
      </c>
    </row>
    <row r="8" customFormat="false" ht="31.5" hidden="false" customHeight="true" outlineLevel="0" collapsed="false">
      <c r="B8" s="10" t="n">
        <v>3</v>
      </c>
      <c r="C8" s="9" t="s">
        <v>44</v>
      </c>
      <c r="D8" s="4" t="s">
        <v>45</v>
      </c>
      <c r="E8" s="18"/>
      <c r="F8" s="19"/>
      <c r="G8" s="19"/>
      <c r="H8" s="19"/>
      <c r="I8" s="5" t="s">
        <v>17</v>
      </c>
      <c r="J8" s="10" t="n">
        <f aca="false">COUNTIF(E6:E11,"Fail")</f>
        <v>0</v>
      </c>
    </row>
    <row r="9" customFormat="false" ht="31.5" hidden="false" customHeight="true" outlineLevel="0" collapsed="false">
      <c r="B9" s="12" t="n">
        <v>4</v>
      </c>
      <c r="C9" s="3" t="s">
        <v>46</v>
      </c>
      <c r="D9" s="20" t="s">
        <v>47</v>
      </c>
      <c r="E9" s="21"/>
      <c r="F9" s="22"/>
      <c r="G9" s="22"/>
      <c r="H9" s="22"/>
      <c r="I9" s="5" t="s">
        <v>48</v>
      </c>
      <c r="J9" s="10" t="n">
        <f aca="false">COUNTIF(E6:E11,"N/A")</f>
        <v>0</v>
      </c>
    </row>
    <row r="10" customFormat="false" ht="31.5" hidden="false" customHeight="true" outlineLevel="0" collapsed="false">
      <c r="B10" s="10" t="n">
        <v>5</v>
      </c>
      <c r="C10" s="9" t="s">
        <v>49</v>
      </c>
      <c r="D10" s="4" t="s">
        <v>50</v>
      </c>
      <c r="E10" s="18"/>
      <c r="F10" s="19"/>
      <c r="G10" s="19"/>
      <c r="H10" s="19"/>
      <c r="I10" s="5" t="s">
        <v>51</v>
      </c>
      <c r="J10" s="10" t="n">
        <f aca="false">J6-J7-J8-J9</f>
        <v>6</v>
      </c>
    </row>
    <row r="11" customFormat="false" ht="31.5" hidden="false" customHeight="true" outlineLevel="0" collapsed="false">
      <c r="B11" s="12" t="n">
        <v>6</v>
      </c>
      <c r="C11" s="3" t="s">
        <v>52</v>
      </c>
      <c r="D11" s="20" t="s">
        <v>53</v>
      </c>
      <c r="E11" s="21"/>
      <c r="F11" s="22"/>
      <c r="G11" s="22"/>
      <c r="H11" s="22"/>
      <c r="I11" s="5" t="s">
        <v>22</v>
      </c>
      <c r="J11" s="11" t="n">
        <f aca="false">IFERROR((J7+J9)/J6,0)</f>
        <v>0</v>
      </c>
    </row>
  </sheetData>
  <mergeCells count="3">
    <mergeCell ref="B2:G2"/>
    <mergeCell ref="B3:G3"/>
    <mergeCell ref="I5:J5"/>
  </mergeCells>
  <conditionalFormatting sqref="E6:E11">
    <cfRule type="cellIs" priority="2" operator="equal" aboveAverage="0" equalAverage="0" bottom="0" percent="0" rank="0" text="" dxfId="1">
      <formula>"Pass"</formula>
    </cfRule>
    <cfRule type="cellIs" priority="3" operator="equal" aboveAverage="0" equalAverage="0" bottom="0" percent="0" rank="0" text="" dxfId="0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="Select Pass, Fail, or N/A" errorStyle="stop" errorTitle="Invalid entry" operator="between" showDropDown="false" showErrorMessage="false" showInputMessage="false" sqref="E6:E11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0"/>
  </cols>
  <sheetData>
    <row r="2" customFormat="false" ht="22.05" hidden="false" customHeight="false" outlineLevel="0" collapsed="false">
      <c r="B2" s="1" t="s">
        <v>24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31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/>
    </row>
    <row r="6" customFormat="false" ht="31.5" hidden="false" customHeight="true" outlineLevel="0" collapsed="false">
      <c r="B6" s="10" t="n">
        <v>1</v>
      </c>
      <c r="C6" s="9" t="s">
        <v>54</v>
      </c>
      <c r="D6" s="4" t="s">
        <v>55</v>
      </c>
      <c r="E6" s="18"/>
      <c r="F6" s="19"/>
      <c r="G6" s="19"/>
      <c r="H6" s="19"/>
      <c r="I6" s="5" t="s">
        <v>21</v>
      </c>
      <c r="J6" s="10" t="n">
        <f aca="false">COUNTA(C6:C16)</f>
        <v>11</v>
      </c>
    </row>
    <row r="7" customFormat="false" ht="31.5" hidden="false" customHeight="true" outlineLevel="0" collapsed="false">
      <c r="B7" s="12" t="n">
        <v>2</v>
      </c>
      <c r="C7" s="3" t="s">
        <v>56</v>
      </c>
      <c r="D7" s="20" t="s">
        <v>57</v>
      </c>
      <c r="E7" s="21"/>
      <c r="F7" s="22"/>
      <c r="G7" s="22"/>
      <c r="H7" s="22"/>
      <c r="I7" s="5" t="s">
        <v>16</v>
      </c>
      <c r="J7" s="10" t="n">
        <f aca="false">COUNTIF(E6:E16,"Pass")</f>
        <v>0</v>
      </c>
    </row>
    <row r="8" customFormat="false" ht="31.5" hidden="false" customHeight="true" outlineLevel="0" collapsed="false">
      <c r="B8" s="10" t="n">
        <v>3</v>
      </c>
      <c r="C8" s="9" t="s">
        <v>58</v>
      </c>
      <c r="D8" s="4" t="s">
        <v>59</v>
      </c>
      <c r="E8" s="18"/>
      <c r="F8" s="19"/>
      <c r="G8" s="19"/>
      <c r="H8" s="19"/>
      <c r="I8" s="5" t="s">
        <v>17</v>
      </c>
      <c r="J8" s="10" t="n">
        <f aca="false">COUNTIF(E6:E16,"Fail")</f>
        <v>0</v>
      </c>
    </row>
    <row r="9" customFormat="false" ht="31.5" hidden="false" customHeight="true" outlineLevel="0" collapsed="false">
      <c r="B9" s="12" t="n">
        <v>4</v>
      </c>
      <c r="C9" s="3" t="s">
        <v>60</v>
      </c>
      <c r="D9" s="20" t="s">
        <v>61</v>
      </c>
      <c r="E9" s="21"/>
      <c r="F9" s="22"/>
      <c r="G9" s="22"/>
      <c r="H9" s="22"/>
      <c r="I9" s="5" t="s">
        <v>48</v>
      </c>
      <c r="J9" s="10" t="n">
        <f aca="false">COUNTIF(E6:E16,"N/A")</f>
        <v>0</v>
      </c>
    </row>
    <row r="10" customFormat="false" ht="31.5" hidden="false" customHeight="true" outlineLevel="0" collapsed="false">
      <c r="B10" s="10" t="n">
        <v>5</v>
      </c>
      <c r="C10" s="9" t="s">
        <v>62</v>
      </c>
      <c r="D10" s="4" t="s">
        <v>63</v>
      </c>
      <c r="E10" s="18"/>
      <c r="F10" s="19"/>
      <c r="G10" s="19"/>
      <c r="H10" s="19"/>
      <c r="I10" s="5" t="s">
        <v>51</v>
      </c>
      <c r="J10" s="10" t="n">
        <f aca="false">J6-J7-J8-J9</f>
        <v>11</v>
      </c>
    </row>
    <row r="11" customFormat="false" ht="31.5" hidden="false" customHeight="true" outlineLevel="0" collapsed="false">
      <c r="B11" s="12" t="n">
        <v>6</v>
      </c>
      <c r="C11" s="3" t="s">
        <v>64</v>
      </c>
      <c r="D11" s="20" t="s">
        <v>65</v>
      </c>
      <c r="E11" s="21"/>
      <c r="F11" s="22"/>
      <c r="G11" s="22"/>
      <c r="H11" s="22"/>
      <c r="I11" s="5" t="s">
        <v>22</v>
      </c>
      <c r="J11" s="11" t="n">
        <f aca="false">IFERROR((J7+J9)/J6,0)</f>
        <v>0</v>
      </c>
    </row>
    <row r="12" customFormat="false" ht="31.5" hidden="false" customHeight="true" outlineLevel="0" collapsed="false">
      <c r="B12" s="10" t="n">
        <v>7</v>
      </c>
      <c r="C12" s="9" t="s">
        <v>66</v>
      </c>
      <c r="D12" s="4" t="s">
        <v>67</v>
      </c>
      <c r="E12" s="18"/>
      <c r="F12" s="19"/>
      <c r="G12" s="19"/>
      <c r="H12" s="19"/>
    </row>
    <row r="13" customFormat="false" ht="31.5" hidden="false" customHeight="true" outlineLevel="0" collapsed="false">
      <c r="B13" s="12" t="n">
        <v>8</v>
      </c>
      <c r="C13" s="3" t="s">
        <v>68</v>
      </c>
      <c r="D13" s="20" t="s">
        <v>69</v>
      </c>
      <c r="E13" s="21"/>
      <c r="F13" s="22"/>
      <c r="G13" s="22"/>
      <c r="H13" s="22"/>
    </row>
    <row r="14" customFormat="false" ht="31.5" hidden="false" customHeight="true" outlineLevel="0" collapsed="false">
      <c r="B14" s="10" t="n">
        <v>9</v>
      </c>
      <c r="C14" s="9" t="s">
        <v>70</v>
      </c>
      <c r="D14" s="4" t="s">
        <v>71</v>
      </c>
      <c r="E14" s="18"/>
      <c r="F14" s="19"/>
      <c r="G14" s="19"/>
      <c r="H14" s="19"/>
    </row>
    <row r="15" customFormat="false" ht="31.5" hidden="false" customHeight="true" outlineLevel="0" collapsed="false">
      <c r="B15" s="12" t="n">
        <v>10</v>
      </c>
      <c r="C15" s="3" t="s">
        <v>72</v>
      </c>
      <c r="D15" s="20" t="s">
        <v>73</v>
      </c>
      <c r="E15" s="21"/>
      <c r="F15" s="22"/>
      <c r="G15" s="22"/>
      <c r="H15" s="22"/>
    </row>
    <row r="16" customFormat="false" ht="31.5" hidden="false" customHeight="true" outlineLevel="0" collapsed="false">
      <c r="B16" s="10" t="n">
        <v>11</v>
      </c>
      <c r="C16" s="9" t="s">
        <v>74</v>
      </c>
      <c r="D16" s="4" t="s">
        <v>75</v>
      </c>
      <c r="E16" s="18"/>
      <c r="F16" s="19"/>
      <c r="G16" s="19"/>
      <c r="H16" s="19"/>
    </row>
  </sheetData>
  <mergeCells count="3">
    <mergeCell ref="B2:G2"/>
    <mergeCell ref="B3:G3"/>
    <mergeCell ref="I5:J5"/>
  </mergeCells>
  <conditionalFormatting sqref="E6:E16">
    <cfRule type="cellIs" priority="2" operator="equal" aboveAverage="0" equalAverage="0" bottom="0" percent="0" rank="0" text="" dxfId="1">
      <formula>"Pass"</formula>
    </cfRule>
    <cfRule type="cellIs" priority="3" operator="equal" aboveAverage="0" equalAverage="0" bottom="0" percent="0" rank="0" text="" dxfId="0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="Select Pass, Fail, or N/A" errorStyle="stop" errorTitle="Invalid entry" operator="between" showDropDown="false" showErrorMessage="false" showInputMessage="false" sqref="E6:E16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0"/>
  </cols>
  <sheetData>
    <row r="2" customFormat="false" ht="22.05" hidden="false" customHeight="false" outlineLevel="0" collapsed="false">
      <c r="B2" s="1" t="s">
        <v>25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31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/>
    </row>
    <row r="6" customFormat="false" ht="31.5" hidden="false" customHeight="true" outlineLevel="0" collapsed="false">
      <c r="B6" s="10" t="n">
        <v>1</v>
      </c>
      <c r="C6" s="9" t="s">
        <v>76</v>
      </c>
      <c r="D6" s="4" t="s">
        <v>77</v>
      </c>
      <c r="E6" s="18"/>
      <c r="F6" s="19"/>
      <c r="G6" s="19"/>
      <c r="H6" s="19"/>
      <c r="I6" s="5" t="s">
        <v>21</v>
      </c>
      <c r="J6" s="10" t="n">
        <f aca="false">COUNTA(C6:C16)</f>
        <v>11</v>
      </c>
    </row>
    <row r="7" customFormat="false" ht="31.5" hidden="false" customHeight="true" outlineLevel="0" collapsed="false">
      <c r="B7" s="12" t="n">
        <v>2</v>
      </c>
      <c r="C7" s="3" t="s">
        <v>78</v>
      </c>
      <c r="D7" s="20" t="s">
        <v>79</v>
      </c>
      <c r="E7" s="21"/>
      <c r="F7" s="22"/>
      <c r="G7" s="22"/>
      <c r="H7" s="22"/>
      <c r="I7" s="5" t="s">
        <v>16</v>
      </c>
      <c r="J7" s="10" t="n">
        <f aca="false">COUNTIF(E6:E16,"Pass")</f>
        <v>0</v>
      </c>
    </row>
    <row r="8" customFormat="false" ht="31.5" hidden="false" customHeight="true" outlineLevel="0" collapsed="false">
      <c r="B8" s="10" t="n">
        <v>3</v>
      </c>
      <c r="C8" s="9" t="s">
        <v>80</v>
      </c>
      <c r="D8" s="4" t="s">
        <v>81</v>
      </c>
      <c r="E8" s="18"/>
      <c r="F8" s="19"/>
      <c r="G8" s="19"/>
      <c r="H8" s="19"/>
      <c r="I8" s="5" t="s">
        <v>17</v>
      </c>
      <c r="J8" s="10" t="n">
        <f aca="false">COUNTIF(E6:E16,"Fail")</f>
        <v>0</v>
      </c>
    </row>
    <row r="9" customFormat="false" ht="31.5" hidden="false" customHeight="true" outlineLevel="0" collapsed="false">
      <c r="B9" s="12" t="n">
        <v>4</v>
      </c>
      <c r="C9" s="3" t="s">
        <v>82</v>
      </c>
      <c r="D9" s="20" t="s">
        <v>83</v>
      </c>
      <c r="E9" s="21"/>
      <c r="F9" s="22"/>
      <c r="G9" s="22"/>
      <c r="H9" s="22"/>
      <c r="I9" s="5" t="s">
        <v>48</v>
      </c>
      <c r="J9" s="10" t="n">
        <f aca="false">COUNTIF(E6:E16,"N/A")</f>
        <v>0</v>
      </c>
    </row>
    <row r="10" customFormat="false" ht="31.5" hidden="false" customHeight="true" outlineLevel="0" collapsed="false">
      <c r="B10" s="10" t="n">
        <v>5</v>
      </c>
      <c r="C10" s="9" t="s">
        <v>84</v>
      </c>
      <c r="D10" s="4" t="s">
        <v>85</v>
      </c>
      <c r="E10" s="18"/>
      <c r="F10" s="19"/>
      <c r="G10" s="19"/>
      <c r="H10" s="19"/>
      <c r="I10" s="5" t="s">
        <v>51</v>
      </c>
      <c r="J10" s="10" t="n">
        <f aca="false">J6-J7-J8-J9</f>
        <v>11</v>
      </c>
    </row>
    <row r="11" customFormat="false" ht="31.5" hidden="false" customHeight="true" outlineLevel="0" collapsed="false">
      <c r="B11" s="12" t="n">
        <v>6</v>
      </c>
      <c r="C11" s="3" t="s">
        <v>86</v>
      </c>
      <c r="D11" s="20" t="s">
        <v>87</v>
      </c>
      <c r="E11" s="21"/>
      <c r="F11" s="22"/>
      <c r="G11" s="22"/>
      <c r="H11" s="22"/>
      <c r="I11" s="5" t="s">
        <v>22</v>
      </c>
      <c r="J11" s="11" t="n">
        <f aca="false">IFERROR((J7+J9)/J6,0)</f>
        <v>0</v>
      </c>
    </row>
    <row r="12" customFormat="false" ht="31.5" hidden="false" customHeight="true" outlineLevel="0" collapsed="false">
      <c r="B12" s="10" t="n">
        <v>7</v>
      </c>
      <c r="C12" s="9" t="s">
        <v>88</v>
      </c>
      <c r="D12" s="4" t="s">
        <v>89</v>
      </c>
      <c r="E12" s="18"/>
      <c r="F12" s="19"/>
      <c r="G12" s="19"/>
      <c r="H12" s="19"/>
    </row>
    <row r="13" customFormat="false" ht="31.5" hidden="false" customHeight="true" outlineLevel="0" collapsed="false">
      <c r="B13" s="12" t="n">
        <v>8</v>
      </c>
      <c r="C13" s="3" t="s">
        <v>90</v>
      </c>
      <c r="D13" s="20" t="s">
        <v>91</v>
      </c>
      <c r="E13" s="21"/>
      <c r="F13" s="22"/>
      <c r="G13" s="22"/>
      <c r="H13" s="22"/>
    </row>
    <row r="14" customFormat="false" ht="31.5" hidden="false" customHeight="true" outlineLevel="0" collapsed="false">
      <c r="B14" s="10" t="n">
        <v>9</v>
      </c>
      <c r="C14" s="9" t="s">
        <v>92</v>
      </c>
      <c r="D14" s="4" t="s">
        <v>93</v>
      </c>
      <c r="E14" s="18"/>
      <c r="F14" s="19"/>
      <c r="G14" s="19"/>
      <c r="H14" s="19"/>
    </row>
    <row r="15" customFormat="false" ht="31.5" hidden="false" customHeight="true" outlineLevel="0" collapsed="false">
      <c r="B15" s="12" t="n">
        <v>10</v>
      </c>
      <c r="C15" s="3" t="s">
        <v>94</v>
      </c>
      <c r="D15" s="20" t="s">
        <v>95</v>
      </c>
      <c r="E15" s="21"/>
      <c r="F15" s="22"/>
      <c r="G15" s="22"/>
      <c r="H15" s="22"/>
    </row>
    <row r="16" customFormat="false" ht="31.5" hidden="false" customHeight="true" outlineLevel="0" collapsed="false">
      <c r="B16" s="10" t="n">
        <v>11</v>
      </c>
      <c r="C16" s="9" t="s">
        <v>96</v>
      </c>
      <c r="D16" s="4" t="s">
        <v>97</v>
      </c>
      <c r="E16" s="18"/>
      <c r="F16" s="19"/>
      <c r="G16" s="19"/>
      <c r="H16" s="19"/>
    </row>
  </sheetData>
  <mergeCells count="3">
    <mergeCell ref="B2:G2"/>
    <mergeCell ref="B3:G3"/>
    <mergeCell ref="I5:J5"/>
  </mergeCells>
  <conditionalFormatting sqref="E6:E16">
    <cfRule type="cellIs" priority="2" operator="equal" aboveAverage="0" equalAverage="0" bottom="0" percent="0" rank="0" text="" dxfId="1">
      <formula>"Pass"</formula>
    </cfRule>
    <cfRule type="cellIs" priority="3" operator="equal" aboveAverage="0" equalAverage="0" bottom="0" percent="0" rank="0" text="" dxfId="0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="Select Pass, Fail, or N/A" errorStyle="stop" errorTitle="Invalid entry" operator="between" showDropDown="false" showErrorMessage="false" showInputMessage="false" sqref="E6:E16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0"/>
  </cols>
  <sheetData>
    <row r="2" customFormat="false" ht="22.05" hidden="false" customHeight="false" outlineLevel="0" collapsed="false">
      <c r="B2" s="1" t="s">
        <v>26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31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/>
    </row>
    <row r="6" customFormat="false" ht="31.5" hidden="false" customHeight="true" outlineLevel="0" collapsed="false">
      <c r="B6" s="10" t="n">
        <v>1</v>
      </c>
      <c r="C6" s="9" t="s">
        <v>98</v>
      </c>
      <c r="D6" s="4" t="s">
        <v>99</v>
      </c>
      <c r="E6" s="18"/>
      <c r="F6" s="19"/>
      <c r="G6" s="19"/>
      <c r="H6" s="19"/>
      <c r="I6" s="5" t="s">
        <v>21</v>
      </c>
      <c r="J6" s="10" t="n">
        <f aca="false">COUNTA(C6:C11)</f>
        <v>6</v>
      </c>
    </row>
    <row r="7" customFormat="false" ht="31.5" hidden="false" customHeight="true" outlineLevel="0" collapsed="false">
      <c r="B7" s="12" t="n">
        <v>2</v>
      </c>
      <c r="C7" s="3" t="s">
        <v>100</v>
      </c>
      <c r="D7" s="20" t="s">
        <v>101</v>
      </c>
      <c r="E7" s="21"/>
      <c r="F7" s="22"/>
      <c r="G7" s="22"/>
      <c r="H7" s="22"/>
      <c r="I7" s="5" t="s">
        <v>16</v>
      </c>
      <c r="J7" s="10" t="n">
        <f aca="false">COUNTIF(E6:E11,"Pass")</f>
        <v>0</v>
      </c>
    </row>
    <row r="8" customFormat="false" ht="31.5" hidden="false" customHeight="true" outlineLevel="0" collapsed="false">
      <c r="B8" s="10" t="n">
        <v>3</v>
      </c>
      <c r="C8" s="9" t="s">
        <v>102</v>
      </c>
      <c r="D8" s="4" t="s">
        <v>103</v>
      </c>
      <c r="E8" s="18"/>
      <c r="F8" s="19"/>
      <c r="G8" s="19"/>
      <c r="H8" s="19"/>
      <c r="I8" s="5" t="s">
        <v>17</v>
      </c>
      <c r="J8" s="10" t="n">
        <f aca="false">COUNTIF(E6:E11,"Fail")</f>
        <v>0</v>
      </c>
    </row>
    <row r="9" customFormat="false" ht="31.5" hidden="false" customHeight="true" outlineLevel="0" collapsed="false">
      <c r="B9" s="12" t="n">
        <v>4</v>
      </c>
      <c r="C9" s="3" t="s">
        <v>104</v>
      </c>
      <c r="D9" s="20" t="s">
        <v>105</v>
      </c>
      <c r="E9" s="21"/>
      <c r="F9" s="22"/>
      <c r="G9" s="22"/>
      <c r="H9" s="22"/>
      <c r="I9" s="5" t="s">
        <v>48</v>
      </c>
      <c r="J9" s="10" t="n">
        <f aca="false">COUNTIF(E6:E11,"N/A")</f>
        <v>0</v>
      </c>
    </row>
    <row r="10" customFormat="false" ht="31.5" hidden="false" customHeight="true" outlineLevel="0" collapsed="false">
      <c r="B10" s="10" t="n">
        <v>5</v>
      </c>
      <c r="C10" s="9" t="s">
        <v>106</v>
      </c>
      <c r="D10" s="4" t="s">
        <v>107</v>
      </c>
      <c r="E10" s="18"/>
      <c r="F10" s="19"/>
      <c r="G10" s="19"/>
      <c r="H10" s="19"/>
      <c r="I10" s="5" t="s">
        <v>51</v>
      </c>
      <c r="J10" s="10" t="n">
        <f aca="false">J6-J7-J8-J9</f>
        <v>6</v>
      </c>
    </row>
    <row r="11" customFormat="false" ht="31.5" hidden="false" customHeight="true" outlineLevel="0" collapsed="false">
      <c r="B11" s="12" t="n">
        <v>6</v>
      </c>
      <c r="C11" s="3" t="s">
        <v>108</v>
      </c>
      <c r="D11" s="20" t="s">
        <v>109</v>
      </c>
      <c r="E11" s="21"/>
      <c r="F11" s="22"/>
      <c r="G11" s="22"/>
      <c r="H11" s="22"/>
      <c r="I11" s="5" t="s">
        <v>22</v>
      </c>
      <c r="J11" s="11" t="n">
        <f aca="false">IFERROR((J7+J9)/J6,0)</f>
        <v>0</v>
      </c>
    </row>
  </sheetData>
  <mergeCells count="3">
    <mergeCell ref="B2:G2"/>
    <mergeCell ref="B3:G3"/>
    <mergeCell ref="I5:J5"/>
  </mergeCells>
  <conditionalFormatting sqref="E6:E11">
    <cfRule type="cellIs" priority="2" operator="equal" aboveAverage="0" equalAverage="0" bottom="0" percent="0" rank="0" text="" dxfId="1">
      <formula>"Pass"</formula>
    </cfRule>
    <cfRule type="cellIs" priority="3" operator="equal" aboveAverage="0" equalAverage="0" bottom="0" percent="0" rank="0" text="" dxfId="0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="Select Pass, Fail, or N/A" errorStyle="stop" errorTitle="Invalid entry" operator="between" showDropDown="false" showErrorMessage="false" showInputMessage="false" sqref="E6:E11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0"/>
  </cols>
  <sheetData>
    <row r="2" customFormat="false" ht="22.05" hidden="false" customHeight="false" outlineLevel="0" collapsed="false">
      <c r="B2" s="1" t="s">
        <v>27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31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/>
    </row>
    <row r="6" customFormat="false" ht="31.5" hidden="false" customHeight="true" outlineLevel="0" collapsed="false">
      <c r="B6" s="10" t="n">
        <v>1</v>
      </c>
      <c r="C6" s="9" t="s">
        <v>110</v>
      </c>
      <c r="D6" s="4" t="s">
        <v>111</v>
      </c>
      <c r="E6" s="18"/>
      <c r="F6" s="19"/>
      <c r="G6" s="19"/>
      <c r="H6" s="19"/>
      <c r="I6" s="5" t="s">
        <v>21</v>
      </c>
      <c r="J6" s="10" t="n">
        <f aca="false">COUNTA(C6:C11)</f>
        <v>6</v>
      </c>
    </row>
    <row r="7" customFormat="false" ht="31.5" hidden="false" customHeight="true" outlineLevel="0" collapsed="false">
      <c r="B7" s="12" t="n">
        <v>2</v>
      </c>
      <c r="C7" s="3" t="s">
        <v>112</v>
      </c>
      <c r="D7" s="20" t="s">
        <v>113</v>
      </c>
      <c r="E7" s="21"/>
      <c r="F7" s="22"/>
      <c r="G7" s="22"/>
      <c r="H7" s="22"/>
      <c r="I7" s="5" t="s">
        <v>16</v>
      </c>
      <c r="J7" s="10" t="n">
        <f aca="false">COUNTIF(E6:E11,"Pass")</f>
        <v>0</v>
      </c>
    </row>
    <row r="8" customFormat="false" ht="31.5" hidden="false" customHeight="true" outlineLevel="0" collapsed="false">
      <c r="B8" s="10" t="n">
        <v>3</v>
      </c>
      <c r="C8" s="9" t="s">
        <v>114</v>
      </c>
      <c r="D8" s="4" t="s">
        <v>115</v>
      </c>
      <c r="E8" s="18"/>
      <c r="F8" s="19"/>
      <c r="G8" s="19"/>
      <c r="H8" s="19"/>
      <c r="I8" s="5" t="s">
        <v>17</v>
      </c>
      <c r="J8" s="10" t="n">
        <f aca="false">COUNTIF(E6:E11,"Fail")</f>
        <v>0</v>
      </c>
    </row>
    <row r="9" customFormat="false" ht="31.5" hidden="false" customHeight="true" outlineLevel="0" collapsed="false">
      <c r="B9" s="12" t="n">
        <v>4</v>
      </c>
      <c r="C9" s="3" t="s">
        <v>116</v>
      </c>
      <c r="D9" s="20" t="s">
        <v>117</v>
      </c>
      <c r="E9" s="21"/>
      <c r="F9" s="22"/>
      <c r="G9" s="22"/>
      <c r="H9" s="22"/>
      <c r="I9" s="5" t="s">
        <v>48</v>
      </c>
      <c r="J9" s="10" t="n">
        <f aca="false">COUNTIF(E6:E11,"N/A")</f>
        <v>0</v>
      </c>
    </row>
    <row r="10" customFormat="false" ht="31.5" hidden="false" customHeight="true" outlineLevel="0" collapsed="false">
      <c r="B10" s="10" t="n">
        <v>5</v>
      </c>
      <c r="C10" s="9" t="s">
        <v>118</v>
      </c>
      <c r="D10" s="4" t="s">
        <v>119</v>
      </c>
      <c r="E10" s="18"/>
      <c r="F10" s="19"/>
      <c r="G10" s="19"/>
      <c r="H10" s="19"/>
      <c r="I10" s="5" t="s">
        <v>51</v>
      </c>
      <c r="J10" s="10" t="n">
        <f aca="false">J6-J7-J8-J9</f>
        <v>6</v>
      </c>
    </row>
    <row r="11" customFormat="false" ht="31.5" hidden="false" customHeight="true" outlineLevel="0" collapsed="false">
      <c r="B11" s="12" t="n">
        <v>6</v>
      </c>
      <c r="C11" s="3" t="s">
        <v>120</v>
      </c>
      <c r="D11" s="20" t="s">
        <v>121</v>
      </c>
      <c r="E11" s="21"/>
      <c r="F11" s="22"/>
      <c r="G11" s="22"/>
      <c r="H11" s="22"/>
      <c r="I11" s="5" t="s">
        <v>22</v>
      </c>
      <c r="J11" s="11" t="n">
        <f aca="false">IFERROR((J7+J9)/J6,0)</f>
        <v>0</v>
      </c>
    </row>
  </sheetData>
  <mergeCells count="3">
    <mergeCell ref="B2:G2"/>
    <mergeCell ref="B3:G3"/>
    <mergeCell ref="I5:J5"/>
  </mergeCells>
  <conditionalFormatting sqref="E6:E11">
    <cfRule type="cellIs" priority="2" operator="equal" aboveAverage="0" equalAverage="0" bottom="0" percent="0" rank="0" text="" dxfId="1">
      <formula>"Pass"</formula>
    </cfRule>
    <cfRule type="cellIs" priority="3" operator="equal" aboveAverage="0" equalAverage="0" bottom="0" percent="0" rank="0" text="" dxfId="0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="Select Pass, Fail, or N/A" errorStyle="stop" errorTitle="Invalid entry" operator="between" showDropDown="false" showErrorMessage="false" showInputMessage="false" sqref="E6:E11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0"/>
  </cols>
  <sheetData>
    <row r="2" customFormat="false" ht="22.05" hidden="false" customHeight="false" outlineLevel="0" collapsed="false">
      <c r="B2" s="1" t="s">
        <v>28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31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/>
    </row>
    <row r="6" customFormat="false" ht="31.5" hidden="false" customHeight="true" outlineLevel="0" collapsed="false">
      <c r="B6" s="10" t="n">
        <v>1</v>
      </c>
      <c r="C6" s="9" t="s">
        <v>122</v>
      </c>
      <c r="D6" s="4" t="s">
        <v>123</v>
      </c>
      <c r="E6" s="18"/>
      <c r="F6" s="19"/>
      <c r="G6" s="19"/>
      <c r="H6" s="19"/>
      <c r="I6" s="5" t="s">
        <v>21</v>
      </c>
      <c r="J6" s="10" t="n">
        <f aca="false">COUNTA(C6:C11)</f>
        <v>6</v>
      </c>
    </row>
    <row r="7" customFormat="false" ht="31.5" hidden="false" customHeight="true" outlineLevel="0" collapsed="false">
      <c r="B7" s="12" t="n">
        <v>2</v>
      </c>
      <c r="C7" s="3" t="s">
        <v>124</v>
      </c>
      <c r="D7" s="20" t="s">
        <v>125</v>
      </c>
      <c r="E7" s="21"/>
      <c r="F7" s="22"/>
      <c r="G7" s="22"/>
      <c r="H7" s="22"/>
      <c r="I7" s="5" t="s">
        <v>16</v>
      </c>
      <c r="J7" s="10" t="n">
        <f aca="false">COUNTIF(E6:E11,"Pass")</f>
        <v>0</v>
      </c>
    </row>
    <row r="8" customFormat="false" ht="31.5" hidden="false" customHeight="true" outlineLevel="0" collapsed="false">
      <c r="B8" s="10" t="n">
        <v>3</v>
      </c>
      <c r="C8" s="9" t="s">
        <v>126</v>
      </c>
      <c r="D8" s="4" t="s">
        <v>127</v>
      </c>
      <c r="E8" s="18"/>
      <c r="F8" s="19"/>
      <c r="G8" s="19"/>
      <c r="H8" s="19"/>
      <c r="I8" s="5" t="s">
        <v>17</v>
      </c>
      <c r="J8" s="10" t="n">
        <f aca="false">COUNTIF(E6:E11,"Fail")</f>
        <v>0</v>
      </c>
    </row>
    <row r="9" customFormat="false" ht="31.5" hidden="false" customHeight="true" outlineLevel="0" collapsed="false">
      <c r="B9" s="12" t="n">
        <v>4</v>
      </c>
      <c r="C9" s="3" t="s">
        <v>128</v>
      </c>
      <c r="D9" s="20" t="s">
        <v>129</v>
      </c>
      <c r="E9" s="21"/>
      <c r="F9" s="22"/>
      <c r="G9" s="22"/>
      <c r="H9" s="22"/>
      <c r="I9" s="5" t="s">
        <v>48</v>
      </c>
      <c r="J9" s="10" t="n">
        <f aca="false">COUNTIF(E6:E11,"N/A")</f>
        <v>0</v>
      </c>
    </row>
    <row r="10" customFormat="false" ht="31.5" hidden="false" customHeight="true" outlineLevel="0" collapsed="false">
      <c r="B10" s="10" t="n">
        <v>5</v>
      </c>
      <c r="C10" s="9" t="s">
        <v>130</v>
      </c>
      <c r="D10" s="4" t="s">
        <v>131</v>
      </c>
      <c r="E10" s="18"/>
      <c r="F10" s="19"/>
      <c r="G10" s="19"/>
      <c r="H10" s="19"/>
      <c r="I10" s="5" t="s">
        <v>51</v>
      </c>
      <c r="J10" s="10" t="n">
        <f aca="false">J6-J7-J8-J9</f>
        <v>6</v>
      </c>
    </row>
    <row r="11" customFormat="false" ht="31.5" hidden="false" customHeight="true" outlineLevel="0" collapsed="false">
      <c r="B11" s="12" t="n">
        <v>6</v>
      </c>
      <c r="C11" s="3" t="s">
        <v>132</v>
      </c>
      <c r="D11" s="20" t="s">
        <v>133</v>
      </c>
      <c r="E11" s="21"/>
      <c r="F11" s="22"/>
      <c r="G11" s="22"/>
      <c r="H11" s="22"/>
      <c r="I11" s="5" t="s">
        <v>22</v>
      </c>
      <c r="J11" s="11" t="n">
        <f aca="false">IFERROR((J7+J9)/J6,0)</f>
        <v>0</v>
      </c>
    </row>
  </sheetData>
  <mergeCells count="3">
    <mergeCell ref="B2:G2"/>
    <mergeCell ref="B3:G3"/>
    <mergeCell ref="I5:J5"/>
  </mergeCells>
  <conditionalFormatting sqref="E6:E11">
    <cfRule type="cellIs" priority="2" operator="equal" aboveAverage="0" equalAverage="0" bottom="0" percent="0" rank="0" text="" dxfId="1">
      <formula>"Pass"</formula>
    </cfRule>
    <cfRule type="cellIs" priority="3" operator="equal" aboveAverage="0" equalAverage="0" bottom="0" percent="0" rank="0" text="" dxfId="0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="Select Pass, Fail, or N/A" errorStyle="stop" errorTitle="Invalid entry" operator="between" showDropDown="false" showErrorMessage="false" showInputMessage="false" sqref="E6:E11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1" t="s">
        <v>134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135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8" t="s">
        <v>32</v>
      </c>
      <c r="C5" s="8" t="s">
        <v>38</v>
      </c>
      <c r="D5" s="8" t="s">
        <v>20</v>
      </c>
      <c r="E5" s="8" t="s">
        <v>33</v>
      </c>
      <c r="F5" s="8" t="s">
        <v>136</v>
      </c>
      <c r="G5" s="8" t="s">
        <v>137</v>
      </c>
      <c r="H5" s="8" t="s">
        <v>138</v>
      </c>
      <c r="I5" s="8" t="s">
        <v>35</v>
      </c>
    </row>
    <row r="6" customFormat="false" ht="30" hidden="false" customHeight="true" outlineLevel="0" collapsed="false">
      <c r="B6" s="10" t="n">
        <v>1</v>
      </c>
      <c r="C6" s="19"/>
      <c r="D6" s="19"/>
      <c r="E6" s="19"/>
      <c r="F6" s="19"/>
      <c r="G6" s="19"/>
      <c r="H6" s="19"/>
      <c r="I6" s="19"/>
    </row>
    <row r="7" customFormat="false" ht="30" hidden="false" customHeight="true" outlineLevel="0" collapsed="false">
      <c r="B7" s="12" t="n">
        <v>2</v>
      </c>
      <c r="C7" s="22"/>
      <c r="D7" s="22"/>
      <c r="E7" s="22"/>
      <c r="F7" s="22"/>
      <c r="G7" s="22"/>
      <c r="H7" s="22"/>
      <c r="I7" s="22"/>
    </row>
    <row r="8" customFormat="false" ht="30" hidden="false" customHeight="true" outlineLevel="0" collapsed="false">
      <c r="B8" s="10" t="n">
        <v>3</v>
      </c>
      <c r="C8" s="19"/>
      <c r="D8" s="19"/>
      <c r="E8" s="19"/>
      <c r="F8" s="19"/>
      <c r="G8" s="19"/>
      <c r="H8" s="19"/>
      <c r="I8" s="19"/>
    </row>
    <row r="9" customFormat="false" ht="30" hidden="false" customHeight="true" outlineLevel="0" collapsed="false">
      <c r="B9" s="12" t="n">
        <v>4</v>
      </c>
      <c r="C9" s="22"/>
      <c r="D9" s="22"/>
      <c r="E9" s="22"/>
      <c r="F9" s="22"/>
      <c r="G9" s="22"/>
      <c r="H9" s="22"/>
      <c r="I9" s="22"/>
    </row>
    <row r="10" customFormat="false" ht="30" hidden="false" customHeight="true" outlineLevel="0" collapsed="false">
      <c r="B10" s="10" t="n">
        <v>5</v>
      </c>
      <c r="C10" s="19"/>
      <c r="D10" s="19"/>
      <c r="E10" s="19"/>
      <c r="F10" s="19"/>
      <c r="G10" s="19"/>
      <c r="H10" s="19"/>
      <c r="I10" s="19"/>
    </row>
    <row r="11" customFormat="false" ht="30" hidden="false" customHeight="true" outlineLevel="0" collapsed="false">
      <c r="B11" s="12" t="n">
        <v>6</v>
      </c>
      <c r="C11" s="22"/>
      <c r="D11" s="22"/>
      <c r="E11" s="22"/>
      <c r="F11" s="22"/>
      <c r="G11" s="22"/>
      <c r="H11" s="22"/>
      <c r="I11" s="22"/>
    </row>
    <row r="12" customFormat="false" ht="30" hidden="false" customHeight="true" outlineLevel="0" collapsed="false">
      <c r="B12" s="10" t="n">
        <v>7</v>
      </c>
      <c r="C12" s="19"/>
      <c r="D12" s="19"/>
      <c r="E12" s="19"/>
      <c r="F12" s="19"/>
      <c r="G12" s="19"/>
      <c r="H12" s="19"/>
      <c r="I12" s="19"/>
    </row>
    <row r="13" customFormat="false" ht="30" hidden="false" customHeight="true" outlineLevel="0" collapsed="false">
      <c r="B13" s="12" t="n">
        <v>8</v>
      </c>
      <c r="C13" s="22"/>
      <c r="D13" s="22"/>
      <c r="E13" s="22"/>
      <c r="F13" s="22"/>
      <c r="G13" s="22"/>
      <c r="H13" s="22"/>
      <c r="I13" s="22"/>
    </row>
    <row r="14" customFormat="false" ht="30" hidden="false" customHeight="true" outlineLevel="0" collapsed="false">
      <c r="B14" s="10" t="n">
        <v>9</v>
      </c>
      <c r="C14" s="19"/>
      <c r="D14" s="19"/>
      <c r="E14" s="19"/>
      <c r="F14" s="19"/>
      <c r="G14" s="19"/>
      <c r="H14" s="19"/>
      <c r="I14" s="19"/>
    </row>
    <row r="15" customFormat="false" ht="30" hidden="false" customHeight="true" outlineLevel="0" collapsed="false">
      <c r="B15" s="12" t="n">
        <v>10</v>
      </c>
      <c r="C15" s="22"/>
      <c r="D15" s="22"/>
      <c r="E15" s="22"/>
      <c r="F15" s="22"/>
      <c r="G15" s="22"/>
      <c r="H15" s="22"/>
      <c r="I15" s="22"/>
    </row>
    <row r="16" customFormat="false" ht="30" hidden="false" customHeight="true" outlineLevel="0" collapsed="false">
      <c r="B16" s="10" t="n">
        <v>11</v>
      </c>
      <c r="C16" s="19"/>
      <c r="D16" s="19"/>
      <c r="E16" s="19"/>
      <c r="F16" s="19"/>
      <c r="G16" s="19"/>
      <c r="H16" s="19"/>
      <c r="I16" s="19"/>
    </row>
    <row r="17" customFormat="false" ht="30" hidden="false" customHeight="true" outlineLevel="0" collapsed="false">
      <c r="B17" s="12" t="n">
        <v>12</v>
      </c>
      <c r="C17" s="22"/>
      <c r="D17" s="22"/>
      <c r="E17" s="22"/>
      <c r="F17" s="22"/>
      <c r="G17" s="22"/>
      <c r="H17" s="22"/>
      <c r="I17" s="22"/>
    </row>
    <row r="18" customFormat="false" ht="30" hidden="false" customHeight="true" outlineLevel="0" collapsed="false">
      <c r="B18" s="10" t="n">
        <v>13</v>
      </c>
      <c r="C18" s="19"/>
      <c r="D18" s="19"/>
      <c r="E18" s="19"/>
      <c r="F18" s="19"/>
      <c r="G18" s="19"/>
      <c r="H18" s="19"/>
      <c r="I18" s="19"/>
    </row>
    <row r="19" customFormat="false" ht="30" hidden="false" customHeight="true" outlineLevel="0" collapsed="false">
      <c r="B19" s="12" t="n">
        <v>14</v>
      </c>
      <c r="C19" s="22"/>
      <c r="D19" s="22"/>
      <c r="E19" s="22"/>
      <c r="F19" s="22"/>
      <c r="G19" s="22"/>
      <c r="H19" s="22"/>
      <c r="I19" s="22"/>
    </row>
    <row r="20" customFormat="false" ht="30" hidden="false" customHeight="true" outlineLevel="0" collapsed="false">
      <c r="B20" s="10" t="n">
        <v>15</v>
      </c>
      <c r="C20" s="19"/>
      <c r="D20" s="19"/>
      <c r="E20" s="19"/>
      <c r="F20" s="19"/>
      <c r="G20" s="19"/>
      <c r="H20" s="19"/>
      <c r="I20" s="19"/>
    </row>
    <row r="21" customFormat="false" ht="30" hidden="false" customHeight="true" outlineLevel="0" collapsed="false">
      <c r="B21" s="12" t="n">
        <v>16</v>
      </c>
      <c r="C21" s="22"/>
      <c r="D21" s="22"/>
      <c r="E21" s="22"/>
      <c r="F21" s="22"/>
      <c r="G21" s="22"/>
      <c r="H21" s="22"/>
      <c r="I21" s="22"/>
    </row>
    <row r="22" customFormat="false" ht="30" hidden="false" customHeight="true" outlineLevel="0" collapsed="false">
      <c r="B22" s="10" t="n">
        <v>17</v>
      </c>
      <c r="C22" s="19"/>
      <c r="D22" s="19"/>
      <c r="E22" s="19"/>
      <c r="F22" s="19"/>
      <c r="G22" s="19"/>
      <c r="H22" s="19"/>
      <c r="I22" s="19"/>
    </row>
    <row r="23" customFormat="false" ht="30" hidden="false" customHeight="true" outlineLevel="0" collapsed="false">
      <c r="B23" s="12" t="n">
        <v>18</v>
      </c>
      <c r="C23" s="22"/>
      <c r="D23" s="22"/>
      <c r="E23" s="22"/>
      <c r="F23" s="22"/>
      <c r="G23" s="22"/>
      <c r="H23" s="22"/>
      <c r="I23" s="22"/>
    </row>
    <row r="24" customFormat="false" ht="30" hidden="false" customHeight="true" outlineLevel="0" collapsed="false">
      <c r="B24" s="10" t="n">
        <v>19</v>
      </c>
      <c r="C24" s="19"/>
      <c r="D24" s="19"/>
      <c r="E24" s="19"/>
      <c r="F24" s="19"/>
      <c r="G24" s="19"/>
      <c r="H24" s="19"/>
      <c r="I24" s="19"/>
    </row>
    <row r="25" customFormat="false" ht="30" hidden="false" customHeight="true" outlineLevel="0" collapsed="false">
      <c r="B25" s="12" t="n">
        <v>20</v>
      </c>
      <c r="C25" s="22"/>
      <c r="D25" s="22"/>
      <c r="E25" s="22"/>
      <c r="F25" s="22"/>
      <c r="G25" s="22"/>
      <c r="H25" s="22"/>
      <c r="I25" s="22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I6:I25" type="list">
      <formula1>"Open,In Progress,Resolved,Won't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2026-04-18T17:49:45Z</dcterms:created>
  <dc:creator>openpyxl</dc:creator>
  <dc:description/>
  <dc:language>en-US</dc:language>
  <cp:lastModifiedBy/>
  <dcterms:modified xsi:type="dcterms:W3CDTF">2026-04-18T17:49:45Z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